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<sst xmlns="http://schemas.openxmlformats.org/spreadsheetml/2006/main" count="223" uniqueCount="163">
  <si>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</si>
  <si>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</si>
  <si>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</si>
  <si>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</si>
  <si>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</si>
  <si>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</si>
  <si>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</si>
  <si>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</si>
  <si>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</si>
  <si>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Link</t>
  </si>
  <si>
    <t>Remarks</t>
  </si>
  <si>
    <t>Capacitor</t>
  </si>
  <si>
    <t>C1, C5, C12, C16</t>
  </si>
  <si>
    <t>CAP CER 10UF 10V X5R 0402</t>
  </si>
  <si>
    <t>Cap-0402</t>
  </si>
  <si>
    <t>CC0402MRX5R6BB106</t>
  </si>
  <si>
    <t>Yageo</t>
  </si>
  <si>
    <t>10uF</t>
  </si>
  <si>
    <t>C2, C7, C9, C10, C15</t>
  </si>
  <si>
    <t>CAP CER 2.2UF 10V X5R 0201</t>
  </si>
  <si>
    <t>CAP-0201</t>
  </si>
  <si>
    <t>CC0201MRX5R6BB225</t>
  </si>
  <si>
    <t>2.2uF</t>
  </si>
  <si>
    <t>C3, C4, C6, C11</t>
  </si>
  <si>
    <t>CAP CER 22UF 10V X5R 0402</t>
  </si>
  <si>
    <t>GRM158R61A226ME15D</t>
  </si>
  <si>
    <t>Murata Electronics</t>
  </si>
  <si>
    <t>22uF</t>
  </si>
  <si>
    <t>C8, C14, C18</t>
  </si>
  <si>
    <t>CAP CER 1UF 16V X5R 0201</t>
  </si>
  <si>
    <t>CC0201MRX5R7BB105</t>
  </si>
  <si>
    <t>1uF</t>
  </si>
  <si>
    <t>C13, C17, C19, C20, C22, C23, C24, C25, C26, C27</t>
  </si>
  <si>
    <t>CAP CER 0.1UF 10V X5R 0201</t>
  </si>
  <si>
    <t>CC0201KRX5R6BB104</t>
  </si>
  <si>
    <t>100nF</t>
  </si>
  <si>
    <t>C21</t>
  </si>
  <si>
    <t>CAP TANT POLY 10UF 6.3V 0603</t>
  </si>
  <si>
    <t>Tant-0603</t>
  </si>
  <si>
    <t>T58MM106M6R3C0300</t>
  </si>
  <si>
    <t>Vishay</t>
  </si>
  <si>
    <t>Diode</t>
  </si>
  <si>
    <t>D1</t>
  </si>
  <si>
    <t>DIODE SCHOTTKY 40V 1A SOD323</t>
  </si>
  <si>
    <t>SOD-323</t>
  </si>
  <si>
    <t>B5819WS-TP</t>
  </si>
  <si>
    <t>MDD</t>
  </si>
  <si>
    <t>B5819WS</t>
  </si>
  <si>
    <t>Type-C SMD USB</t>
  </si>
  <si>
    <t>J1</t>
  </si>
  <si>
    <t>USB 3.1 5A 1 260℃ Surface Mount 16P Female -45℃~+85℃ Type-C SMD USB Connectors ROHS</t>
  </si>
  <si>
    <t>TYPEC-312DSS-ACP16</t>
  </si>
  <si>
    <t>XUNPU</t>
  </si>
  <si>
    <t>To Board / Wire To Wire Connector</t>
  </si>
  <si>
    <t>J2</t>
  </si>
  <si>
    <t>CONN HEADER SMD 2POS 1.2MM</t>
  </si>
  <si>
    <t>Molex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</si>
  <si>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</si>
  <si>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</si>
  <si>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</si>
  <si>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</si>
  <si>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</si>
  <si>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</si>
  <si>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Connectors (Board to Board)</t>
  </si>
  <si>
    <t>J4</t>
  </si>
  <si>
    <t>CONN RCPT 24POS SMD GOLD</t>
  </si>
  <si>
    <t>BM20B(0.8)-24DS-0.4V(51)</t>
  </si>
  <si>
    <t>Hirose Electric Co Ltd</t>
  </si>
  <si>
    <t>Inductor</t>
  </si>
  <si>
    <t>L1, L2, L3</t>
  </si>
  <si>
    <t>2.05A 1uH ±20% 3.35A 0806 Power Inductors ROHS</t>
  </si>
  <si>
    <t>WPN201610M1R0MT</t>
  </si>
  <si>
    <t>Sunlord</t>
  </si>
  <si>
    <t>1uH</t>
  </si>
  <si>
    <t>LED</t>
  </si>
  <si>
    <t>LED1</t>
  </si>
  <si>
    <t>40mcd~75mcd 透明透镜 620nm~630nm -30℃~+85℃ Positive post Red 120° 55mW 0201 Light Emitting Diodes (LED) ROHS</t>
  </si>
  <si>
    <t>LED-0201</t>
  </si>
  <si>
    <t>XL-0201SURC</t>
  </si>
  <si>
    <t>XINGLIGHT</t>
  </si>
  <si>
    <t>RED</t>
  </si>
  <si>
    <t>Test Point</t>
  </si>
  <si>
    <t>P1, P2, P3, P4, P5, P6</t>
  </si>
  <si>
    <t>Test Point ON</t>
  </si>
  <si>
    <t>Custom</t>
  </si>
  <si>
    <t>Test-point - 0.5mm</t>
  </si>
  <si>
    <t>TEST POINT 0.5mm Dia</t>
  </si>
  <si>
    <t>Do Not Mount</t>
  </si>
  <si>
    <t>Resistor</t>
  </si>
  <si>
    <t>R1, R2</t>
  </si>
  <si>
    <t>RES 5.1K OHM 1% 1/20W 0201</t>
  </si>
  <si>
    <t>Res-0201</t>
  </si>
  <si>
    <t>RC0201FR-075K1L</t>
  </si>
  <si>
    <t>5.1K</t>
  </si>
  <si>
    <t>R3</t>
  </si>
  <si>
    <t>RES 220 OHM 1% 1/20W 0201</t>
  </si>
  <si>
    <t>RC0201FR-07220RL</t>
  </si>
  <si>
    <t>220R</t>
  </si>
  <si>
    <t>R4, R5, R12, R13, R14</t>
  </si>
  <si>
    <t>RES SMD 10K OHM 1% 1/20W 0201</t>
  </si>
  <si>
    <t>RC0201FR-0710KL</t>
  </si>
  <si>
    <t>10K</t>
  </si>
  <si>
    <t>R6, R9, R10</t>
  </si>
  <si>
    <t>RES SMD 0 OHM JUMPER 1/20W 0201</t>
  </si>
  <si>
    <t>RC0201JR-070RL</t>
  </si>
  <si>
    <t>0R</t>
  </si>
  <si>
    <t>R7, R8, R11</t>
  </si>
  <si>
    <t>RES 4.7K OHM 1% 1/20W 0201</t>
  </si>
  <si>
    <t>RC0201FR-074K7L</t>
  </si>
  <si>
    <t>4.7K</t>
  </si>
  <si>
    <t>Tactile Switch</t>
  </si>
  <si>
    <t>SW1, SW2</t>
  </si>
  <si>
    <t>SWITCH TACTILE, SPST-NO, 0.05A 1</t>
  </si>
  <si>
    <t>R-667799</t>
  </si>
  <si>
    <t>Mitsumi</t>
  </si>
  <si>
    <t>IC</t>
  </si>
  <si>
    <t>U1</t>
  </si>
  <si>
    <t>QFN-40-EP(5x5) Microcontroller Units (MCUs/MPUs/SOCs) ROHS</t>
  </si>
  <si>
    <t>40-QFN (5mm×5mm)</t>
  </si>
  <si>
    <t>AXP2101</t>
  </si>
  <si>
    <t>X-Powers Tech</t>
  </si>
  <si>
    <t>Module</t>
  </si>
  <si>
    <t>U2</t>
  </si>
  <si>
    <t>RF TXRX MODULE BT PCB TRACE SMD</t>
  </si>
  <si>
    <t>ESP32-C3-MINI-1-H4</t>
  </si>
  <si>
    <t>Espressif Systems</t>
  </si>
  <si>
    <t>Heart Rate Sensor</t>
  </si>
  <si>
    <t>U3</t>
  </si>
  <si>
    <t>SENSOR OXIMETER/HEART RATE I2C</t>
  </si>
  <si>
    <t>MAX30102EFD+T</t>
  </si>
  <si>
    <t>Maxim</t>
  </si>
  <si>
    <t>Temperature Sensor</t>
  </si>
  <si>
    <t>U4</t>
  </si>
  <si>
    <t>WSON-6(2x2) Temperature Sensors ROHS</t>
  </si>
  <si>
    <t>WSON-6(2x2)</t>
  </si>
  <si>
    <t>TMP117AIDRVT</t>
  </si>
  <si>
    <t>Texas Instruments</t>
  </si>
  <si>
    <t>U5</t>
  </si>
  <si>
    <t>IC TRANSLTR BIDIRECTIONAL 8DSBGA</t>
  </si>
  <si>
    <t>8-DSBGA</t>
  </si>
  <si>
    <t>TXS0102YZPR</t>
  </si>
  <si>
    <t>U6</t>
  </si>
  <si>
    <t>IC LED DRV LIN SGL WR 30MA 6SSOT</t>
  </si>
  <si>
    <t>SuperSOT-6</t>
  </si>
  <si>
    <t>FAN5622SX</t>
  </si>
  <si>
    <t>ON Semiconductor / Fairchild</t>
  </si>
  <si>
    <t>Peripheral</t>
  </si>
  <si>
    <t>-</t>
  </si>
  <si>
    <t>240x240 Round IPS TFT LCD Display 1.28" Capacitive Touch Circle Screen</t>
  </si>
  <si>
    <t>Touch Panel with Connector</t>
  </si>
  <si>
    <t>BuyDisplay</t>
  </si>
  <si>
    <t>Touch Panel with Connector selection is needed</t>
  </si>
  <si>
    <t>3.7V 3.85V 403535 450mAh Rechargeable li Polymer Round battery For Smart watch Finow x3 Finow x5 replace lem5 lem 5</t>
  </si>
  <si>
    <t>Battery</t>
  </si>
  <si>
    <t>Liter Energy Battery</t>
  </si>
  <si>
    <t>Liter Energy</t>
  </si>
  <si>
    <t>UsbCable/DataCable ROHS</t>
  </si>
  <si>
    <t>C Type Cable</t>
  </si>
  <si>
    <t>Ckmtw</t>
  </si>
  <si>
    <t>LCSC</t>
  </si>
  <si>
    <t>VoltLink CP2102N USB Serial Adapter &amp; Programmer</t>
  </si>
  <si>
    <t>Programmer</t>
  </si>
  <si>
    <t>Tindie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</si>
</sst>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10"/>
      <color indexed="13"/>
      <name val="Arial"/>
      <charset val="134"/>
    </font>
    <font>
      <b/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sz val="10"/>
      <color theme="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/>
    <xf numFmtId="0" fontId="11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 applyProtection="1">
      <alignment horizontal="center" vertical="center"/>
      <protection locked="0"/>
    </xf>
    <xf numFmtId="0" fontId="12" fillId="4" borderId="9" xfId="0" applyFont="1" applyFill="1" applyBorder="1" applyAlignment="1" applyProtection="1">
      <alignment horizontal="center" vertical="center"/>
      <protection locked="0"/>
    </xf>
    <xf numFmtId="0" fontId="12" fillId="4" borderId="9" xfId="0" applyFont="1" applyFill="1" applyBorder="1" applyAlignment="1" applyProtection="1">
      <alignment vertical="center"/>
      <protection locked="0"/>
    </xf>
    <xf numFmtId="0" fontId="13" fillId="4" borderId="9" xfId="0" applyFont="1" applyFill="1" applyBorder="1" applyAlignment="1" applyProtection="1">
      <alignment horizontal="left" vertical="center"/>
      <protection locked="0"/>
    </xf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/>
    <xf numFmtId="0" fontId="14" fillId="4" borderId="10" xfId="0" applyFont="1" applyFill="1" applyBorder="1" applyAlignment="1" applyProtection="1">
      <alignment horizontal="center" vertical="top"/>
      <protection locked="0"/>
    </xf>
    <xf numFmtId="0" fontId="14" fillId="4" borderId="11" xfId="0" applyFont="1" applyFill="1" applyBorder="1" applyAlignment="1" applyProtection="1">
      <alignment horizontal="center" vertical="top"/>
      <protection locked="0"/>
    </xf>
    <xf numFmtId="0" fontId="12" fillId="4" borderId="11" xfId="0" applyFont="1" applyFill="1" applyBorder="1" applyAlignment="1" applyProtection="1">
      <alignment horizontal="left" vertical="top"/>
      <protection locked="0"/>
    </xf>
    <xf numFmtId="0" fontId="13" fillId="4" borderId="11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>
      <alignment horizontal="center"/>
    </xf>
    <xf numFmtId="0" fontId="15" fillId="2" borderId="6" xfId="6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7" fillId="2" borderId="6" xfId="6" applyFont="1" applyFill="1" applyBorder="1" applyAlignment="1">
      <alignment horizontal="center" vertical="center" wrapText="1"/>
    </xf>
    <xf numFmtId="0" fontId="1" fillId="4" borderId="12" xfId="0" applyFont="1" applyFill="1" applyBorder="1" applyAlignment="1"/>
    <xf numFmtId="0" fontId="13" fillId="4" borderId="13" xfId="0" applyFont="1" applyFill="1" applyBorder="1" applyAlignment="1" applyProtection="1">
      <alignment horizontal="left" vertical="top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tindie.com/products/voltlog/voltlink-cp2102n-usb-serial-adapter-programmer/" TargetMode="External"/><Relationship Id="rId3" Type="http://schemas.openxmlformats.org/officeDocument/2006/relationships/hyperlink" Target="https://www.lcsc.com/product-detail/UsbCable-DataCable_Ckmtw-Shenzhen-Cankemeng-S100920007_C430908.html" TargetMode="External"/><Relationship Id="rId2" Type="http://schemas.openxmlformats.org/officeDocument/2006/relationships/hyperlink" Target="https://bihuade.com/products/385v-403535-450mah-liter-energy-battery-rechargeable-li-polymer-battery-for-smart-watch-finow-x3-finow-x5-replace-lem5" TargetMode="External"/><Relationship Id="rId1" Type="http://schemas.openxmlformats.org/officeDocument/2006/relationships/hyperlink" Target="https://www.buydisplay.com/240x240-round-ips-tft-lcd-display-1-28-capacitive-touch-circle-scre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4"/>
  <sheetViews>
    <sheetView tabSelected="1" topLeftCell="F1" workbookViewId="0">
      <selection activeCell="L16" sqref="L16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2" width="29.4285714285714" customWidth="1"/>
  </cols>
  <sheetData>
    <row r="1" ht="15.75" spans="1:12">
      <c r="A1" s="3"/>
      <c r="B1" s="4"/>
      <c r="C1" s="4"/>
      <c r="D1" s="5"/>
      <c r="E1" s="5"/>
      <c r="F1" s="5"/>
      <c r="G1" s="5"/>
      <c r="H1" s="5"/>
      <c r="I1" s="34"/>
      <c r="J1" s="34"/>
      <c r="K1" s="34"/>
      <c r="L1" s="34"/>
    </row>
    <row r="2" ht="15.75" spans="1:12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  <c r="L2" s="6" t="s">
        <v>10</v>
      </c>
    </row>
    <row r="3" ht="15.75" spans="1:12">
      <c r="A3" s="3"/>
      <c r="B3" s="8">
        <f>ROW(B3)-ROW($B$2)</f>
        <v>1</v>
      </c>
      <c r="C3" s="9" t="s">
        <v>11</v>
      </c>
      <c r="D3" s="10" t="s">
        <v>12</v>
      </c>
      <c r="E3" s="11" t="s">
        <v>13</v>
      </c>
      <c r="F3" s="10" t="s">
        <v>14</v>
      </c>
      <c r="G3" s="11" t="s">
        <v>15</v>
      </c>
      <c r="H3" s="10" t="s">
        <v>16</v>
      </c>
      <c r="I3" s="11" t="s">
        <v>17</v>
      </c>
      <c r="J3" s="10">
        <v>4</v>
      </c>
      <c r="K3" s="10"/>
      <c r="L3" s="10"/>
    </row>
    <row r="4" ht="15.75" spans="1:12">
      <c r="A4" s="3"/>
      <c r="B4" s="8">
        <f>ROW(B4)-ROW($B$2)</f>
        <v>2</v>
      </c>
      <c r="C4" s="12" t="s">
        <v>11</v>
      </c>
      <c r="D4" s="13" t="s">
        <v>18</v>
      </c>
      <c r="E4" s="14" t="s">
        <v>19</v>
      </c>
      <c r="F4" s="13" t="s">
        <v>20</v>
      </c>
      <c r="G4" s="14" t="s">
        <v>21</v>
      </c>
      <c r="H4" s="13" t="s">
        <v>16</v>
      </c>
      <c r="I4" s="14" t="s">
        <v>22</v>
      </c>
      <c r="J4" s="13">
        <v>5</v>
      </c>
      <c r="K4" s="13"/>
      <c r="L4" s="13"/>
    </row>
    <row r="5" ht="15.75" spans="1:12">
      <c r="A5" s="3"/>
      <c r="B5" s="8">
        <f>ROW(B5)-ROW($B$2)</f>
        <v>3</v>
      </c>
      <c r="C5" s="9" t="s">
        <v>11</v>
      </c>
      <c r="D5" s="10" t="s">
        <v>23</v>
      </c>
      <c r="E5" s="11" t="s">
        <v>24</v>
      </c>
      <c r="F5" s="10" t="s">
        <v>14</v>
      </c>
      <c r="G5" s="15" t="s">
        <v>25</v>
      </c>
      <c r="H5" s="16" t="s">
        <v>26</v>
      </c>
      <c r="I5" s="11" t="s">
        <v>27</v>
      </c>
      <c r="J5" s="10">
        <v>4</v>
      </c>
      <c r="K5" s="10"/>
      <c r="L5" s="10"/>
    </row>
    <row r="6" ht="15.75" spans="1:12">
      <c r="A6" s="3"/>
      <c r="B6" s="8">
        <f>ROW(B6)-ROW($B$2)</f>
        <v>4</v>
      </c>
      <c r="C6" s="12" t="s">
        <v>11</v>
      </c>
      <c r="D6" s="13" t="s">
        <v>28</v>
      </c>
      <c r="E6" s="14" t="s">
        <v>29</v>
      </c>
      <c r="F6" s="13" t="s">
        <v>20</v>
      </c>
      <c r="G6" s="14" t="s">
        <v>30</v>
      </c>
      <c r="H6" s="13" t="s">
        <v>16</v>
      </c>
      <c r="I6" s="14" t="s">
        <v>31</v>
      </c>
      <c r="J6" s="13">
        <v>3</v>
      </c>
      <c r="K6" s="13"/>
      <c r="L6" s="13"/>
    </row>
    <row r="7" ht="15.75" spans="1:12">
      <c r="A7" s="3"/>
      <c r="B7" s="8">
        <f>ROW(B7)-ROW($B$2)</f>
        <v>5</v>
      </c>
      <c r="C7" s="12" t="s">
        <v>11</v>
      </c>
      <c r="D7" s="10" t="s">
        <v>32</v>
      </c>
      <c r="E7" s="11" t="s">
        <v>33</v>
      </c>
      <c r="F7" s="10" t="s">
        <v>20</v>
      </c>
      <c r="G7" s="11" t="s">
        <v>34</v>
      </c>
      <c r="H7" s="10" t="s">
        <v>16</v>
      </c>
      <c r="I7" s="11" t="s">
        <v>35</v>
      </c>
      <c r="J7" s="10">
        <v>10</v>
      </c>
      <c r="K7" s="10"/>
      <c r="L7" s="10"/>
    </row>
    <row r="8" ht="15.75" spans="1:12">
      <c r="A8" s="3"/>
      <c r="B8" s="8">
        <f>ROW(B8)-ROW($B$2)</f>
        <v>6</v>
      </c>
      <c r="C8" s="12" t="s">
        <v>11</v>
      </c>
      <c r="D8" s="13" t="s">
        <v>36</v>
      </c>
      <c r="E8" s="14" t="s">
        <v>37</v>
      </c>
      <c r="F8" s="13" t="s">
        <v>38</v>
      </c>
      <c r="G8" s="14" t="s">
        <v>39</v>
      </c>
      <c r="H8" s="13" t="s">
        <v>40</v>
      </c>
      <c r="I8" s="14" t="s">
        <v>17</v>
      </c>
      <c r="J8" s="13">
        <v>1</v>
      </c>
      <c r="K8" s="13"/>
      <c r="L8" s="13"/>
    </row>
    <row r="9" ht="15.75" spans="1:12">
      <c r="A9" s="3"/>
      <c r="B9" s="8">
        <f>ROW(B9)-ROW($B$2)</f>
        <v>7</v>
      </c>
      <c r="C9" s="9" t="s">
        <v>41</v>
      </c>
      <c r="D9" s="10" t="s">
        <v>42</v>
      </c>
      <c r="E9" s="11" t="s">
        <v>43</v>
      </c>
      <c r="F9" s="10" t="s">
        <v>44</v>
      </c>
      <c r="G9" s="11" t="s">
        <v>45</v>
      </c>
      <c r="H9" s="10" t="s">
        <v>46</v>
      </c>
      <c r="I9" s="11" t="s">
        <v>47</v>
      </c>
      <c r="J9" s="10">
        <v>1</v>
      </c>
      <c r="K9" s="10"/>
      <c r="L9" s="10"/>
    </row>
    <row r="10" ht="36.75" spans="1:12">
      <c r="A10" s="3"/>
      <c r="B10" s="8">
        <f>ROW(B10)-ROW($B$2)</f>
        <v>8</v>
      </c>
      <c r="C10" s="12" t="s">
        <v>48</v>
      </c>
      <c r="D10" s="13" t="s">
        <v>49</v>
      </c>
      <c r="E10" s="14" t="s">
        <v>50</v>
      </c>
      <c r="F10" s="13" t="s">
        <v>51</v>
      </c>
      <c r="G10" s="14" t="s">
        <v>51</v>
      </c>
      <c r="H10" s="13" t="s">
        <v>52</v>
      </c>
      <c r="I10" s="14" t="s">
        <v>51</v>
      </c>
      <c r="J10" s="13">
        <v>1</v>
      </c>
      <c r="K10" s="13"/>
      <c r="L10" s="13"/>
    </row>
    <row r="11" ht="26.25" spans="1:12">
      <c r="A11" s="3"/>
      <c r="B11" s="8">
        <f>ROW(B11)-ROW($B$2)</f>
        <v>9</v>
      </c>
      <c r="C11" s="9" t="s">
        <v>53</v>
      </c>
      <c r="D11" s="10" t="s">
        <v>54</v>
      </c>
      <c r="E11" s="11" t="s">
        <v>55</v>
      </c>
      <c r="F11" s="10">
        <v>781710002</v>
      </c>
      <c r="G11" s="11">
        <v>781710002</v>
      </c>
      <c r="H11" s="10" t="s">
        <v>56</v>
      </c>
      <c r="I11" s="11">
        <v>781710002</v>
      </c>
      <c r="J11" s="10">
        <v>1</v>
      </c>
      <c r="K11" s="10"/>
      <c r="L11" s="10"/>
    </row>
    <row r="12" ht="24.75" spans="1:12">
      <c r="A12" s="3"/>
      <c r="B12" s="8">
        <f>ROW(B12)-ROW($B$2)</f>
        <v>10</v>
      </c>
      <c r="C12" s="12" t="s">
        <v>57</v>
      </c>
      <c r="D12" s="13" t="s">
        <v>58</v>
      </c>
      <c r="E12" s="14" t="s">
        <v>59</v>
      </c>
      <c r="F12" s="13" t="s">
        <v>60</v>
      </c>
      <c r="G12" s="14" t="s">
        <v>61</v>
      </c>
      <c r="H12" s="13" t="s">
        <v>62</v>
      </c>
      <c r="I12" s="14" t="s">
        <v>60</v>
      </c>
      <c r="J12" s="13">
        <v>1</v>
      </c>
      <c r="K12" s="13"/>
      <c r="L12" s="13"/>
    </row>
    <row r="13" ht="26.25" spans="1:12">
      <c r="A13" s="3"/>
      <c r="B13" s="8">
        <f>ROW(B13)-ROW($B$2)</f>
        <v>11</v>
      </c>
      <c r="C13" s="9" t="s">
        <v>63</v>
      </c>
      <c r="D13" s="10" t="s">
        <v>64</v>
      </c>
      <c r="E13" s="11" t="s">
        <v>65</v>
      </c>
      <c r="F13" s="10" t="s">
        <v>66</v>
      </c>
      <c r="G13" s="11" t="s">
        <v>66</v>
      </c>
      <c r="H13" s="10" t="s">
        <v>67</v>
      </c>
      <c r="I13" s="11" t="s">
        <v>66</v>
      </c>
      <c r="J13" s="10">
        <v>1</v>
      </c>
      <c r="K13" s="10"/>
      <c r="L13" s="10"/>
    </row>
    <row r="14" ht="24.75" spans="1:12">
      <c r="A14" s="3"/>
      <c r="B14" s="8">
        <f>ROW(B14)-ROW($B$2)</f>
        <v>12</v>
      </c>
      <c r="C14" s="12" t="s">
        <v>68</v>
      </c>
      <c r="D14" s="13" t="s">
        <v>69</v>
      </c>
      <c r="E14" s="14" t="s">
        <v>70</v>
      </c>
      <c r="F14" s="13" t="s">
        <v>71</v>
      </c>
      <c r="G14" s="14" t="s">
        <v>71</v>
      </c>
      <c r="H14" s="13" t="s">
        <v>72</v>
      </c>
      <c r="I14" s="14" t="s">
        <v>73</v>
      </c>
      <c r="J14" s="13">
        <v>3</v>
      </c>
      <c r="K14" s="13"/>
      <c r="L14" s="13"/>
    </row>
    <row r="15" ht="48.75" spans="1:12">
      <c r="A15" s="3"/>
      <c r="B15" s="8">
        <f>ROW(B15)-ROW($B$2)</f>
        <v>13</v>
      </c>
      <c r="C15" s="9" t="s">
        <v>74</v>
      </c>
      <c r="D15" s="10" t="s">
        <v>75</v>
      </c>
      <c r="E15" s="11" t="s">
        <v>76</v>
      </c>
      <c r="F15" s="10" t="s">
        <v>77</v>
      </c>
      <c r="G15" s="11" t="s">
        <v>78</v>
      </c>
      <c r="H15" s="10" t="s">
        <v>79</v>
      </c>
      <c r="I15" s="11" t="s">
        <v>80</v>
      </c>
      <c r="J15" s="10">
        <v>1</v>
      </c>
      <c r="K15" s="10"/>
      <c r="L15" s="10"/>
    </row>
    <row r="16" ht="15.75" spans="1:12">
      <c r="A16" s="3"/>
      <c r="B16" s="8">
        <f>ROW(B16)-ROW($B$2)</f>
        <v>14</v>
      </c>
      <c r="C16" s="12" t="s">
        <v>81</v>
      </c>
      <c r="D16" s="17" t="s">
        <v>82</v>
      </c>
      <c r="E16" s="18" t="s">
        <v>83</v>
      </c>
      <c r="F16" s="17" t="s">
        <v>84</v>
      </c>
      <c r="G16" s="19" t="s">
        <v>85</v>
      </c>
      <c r="H16" s="17"/>
      <c r="I16" s="18" t="s">
        <v>86</v>
      </c>
      <c r="J16" s="17">
        <v>6</v>
      </c>
      <c r="K16" s="13"/>
      <c r="L16" s="19" t="s">
        <v>87</v>
      </c>
    </row>
    <row r="17" ht="15.75" spans="1:12">
      <c r="A17" s="3"/>
      <c r="B17" s="8">
        <f>ROW(B17)-ROW($B$2)</f>
        <v>15</v>
      </c>
      <c r="C17" s="9" t="s">
        <v>88</v>
      </c>
      <c r="D17" s="10" t="s">
        <v>89</v>
      </c>
      <c r="E17" s="11" t="s">
        <v>90</v>
      </c>
      <c r="F17" s="10" t="s">
        <v>91</v>
      </c>
      <c r="G17" s="11" t="s">
        <v>92</v>
      </c>
      <c r="H17" s="10" t="s">
        <v>16</v>
      </c>
      <c r="I17" s="11" t="s">
        <v>93</v>
      </c>
      <c r="J17" s="10">
        <v>2</v>
      </c>
      <c r="K17" s="10"/>
      <c r="L17" s="10"/>
    </row>
    <row r="18" ht="15.75" spans="1:12">
      <c r="A18" s="3"/>
      <c r="B18" s="8">
        <f>ROW(B18)-ROW($B$2)</f>
        <v>16</v>
      </c>
      <c r="C18" s="9" t="s">
        <v>88</v>
      </c>
      <c r="D18" s="13" t="s">
        <v>94</v>
      </c>
      <c r="E18" s="14" t="s">
        <v>95</v>
      </c>
      <c r="F18" s="13" t="s">
        <v>91</v>
      </c>
      <c r="G18" s="14" t="s">
        <v>96</v>
      </c>
      <c r="H18" s="13" t="s">
        <v>16</v>
      </c>
      <c r="I18" s="14" t="s">
        <v>97</v>
      </c>
      <c r="J18" s="13">
        <v>1</v>
      </c>
      <c r="K18" s="13"/>
      <c r="L18" s="13"/>
    </row>
    <row r="19" ht="15.75" spans="1:12">
      <c r="A19" s="3"/>
      <c r="B19" s="8">
        <f>ROW(B19)-ROW($B$2)</f>
        <v>17</v>
      </c>
      <c r="C19" s="9" t="s">
        <v>88</v>
      </c>
      <c r="D19" s="10" t="s">
        <v>98</v>
      </c>
      <c r="E19" s="11" t="s">
        <v>99</v>
      </c>
      <c r="F19" s="10" t="s">
        <v>91</v>
      </c>
      <c r="G19" s="11" t="s">
        <v>100</v>
      </c>
      <c r="H19" s="10" t="s">
        <v>16</v>
      </c>
      <c r="I19" s="11" t="s">
        <v>101</v>
      </c>
      <c r="J19" s="10">
        <v>5</v>
      </c>
      <c r="K19" s="10"/>
      <c r="L19" s="10"/>
    </row>
    <row r="20" ht="15.75" spans="1:12">
      <c r="A20" s="3"/>
      <c r="B20" s="8">
        <f>ROW(B20)-ROW($B$2)</f>
        <v>18</v>
      </c>
      <c r="C20" s="9" t="s">
        <v>88</v>
      </c>
      <c r="D20" s="13" t="s">
        <v>102</v>
      </c>
      <c r="E20" s="14" t="s">
        <v>103</v>
      </c>
      <c r="F20" s="13" t="s">
        <v>91</v>
      </c>
      <c r="G20" s="14" t="s">
        <v>104</v>
      </c>
      <c r="H20" s="13" t="s">
        <v>16</v>
      </c>
      <c r="I20" s="14" t="s">
        <v>105</v>
      </c>
      <c r="J20" s="13">
        <v>3</v>
      </c>
      <c r="K20" s="13"/>
      <c r="L20" s="13"/>
    </row>
    <row r="21" ht="15.75" spans="1:12">
      <c r="A21" s="3"/>
      <c r="B21" s="8">
        <f>ROW(B21)-ROW($B$2)</f>
        <v>19</v>
      </c>
      <c r="C21" s="9" t="s">
        <v>88</v>
      </c>
      <c r="D21" s="10" t="s">
        <v>106</v>
      </c>
      <c r="E21" s="11" t="s">
        <v>107</v>
      </c>
      <c r="F21" s="10" t="s">
        <v>91</v>
      </c>
      <c r="G21" s="11" t="s">
        <v>108</v>
      </c>
      <c r="H21" s="10" t="s">
        <v>16</v>
      </c>
      <c r="I21" s="11" t="s">
        <v>109</v>
      </c>
      <c r="J21" s="10">
        <v>3</v>
      </c>
      <c r="K21" s="10"/>
      <c r="L21" s="10"/>
    </row>
    <row r="22" ht="15.75" spans="1:12">
      <c r="A22" s="3"/>
      <c r="B22" s="8">
        <f>ROW(B22)-ROW($B$2)</f>
        <v>20</v>
      </c>
      <c r="C22" s="12" t="s">
        <v>110</v>
      </c>
      <c r="D22" s="13" t="s">
        <v>111</v>
      </c>
      <c r="E22" s="14" t="s">
        <v>112</v>
      </c>
      <c r="F22" s="13" t="s">
        <v>113</v>
      </c>
      <c r="G22" s="14" t="s">
        <v>113</v>
      </c>
      <c r="H22" s="13" t="s">
        <v>114</v>
      </c>
      <c r="I22" s="14" t="s">
        <v>113</v>
      </c>
      <c r="J22" s="13">
        <v>2</v>
      </c>
      <c r="K22" s="13"/>
      <c r="L22" s="13"/>
    </row>
    <row r="23" ht="24.75" spans="1:12">
      <c r="A23" s="3"/>
      <c r="B23" s="8">
        <f>ROW(B23)-ROW($B$2)</f>
        <v>21</v>
      </c>
      <c r="C23" s="9" t="s">
        <v>115</v>
      </c>
      <c r="D23" s="10" t="s">
        <v>116</v>
      </c>
      <c r="E23" s="11" t="s">
        <v>117</v>
      </c>
      <c r="F23" s="10" t="s">
        <v>118</v>
      </c>
      <c r="G23" s="11" t="s">
        <v>119</v>
      </c>
      <c r="H23" s="10" t="s">
        <v>120</v>
      </c>
      <c r="I23" s="11" t="s">
        <v>119</v>
      </c>
      <c r="J23" s="10">
        <v>1</v>
      </c>
      <c r="K23" s="10"/>
      <c r="L23" s="10"/>
    </row>
    <row r="24" ht="15.75" spans="1:12">
      <c r="A24" s="3"/>
      <c r="B24" s="8">
        <f>ROW(B24)-ROW($B$2)</f>
        <v>22</v>
      </c>
      <c r="C24" s="12" t="s">
        <v>121</v>
      </c>
      <c r="D24" s="13" t="s">
        <v>122</v>
      </c>
      <c r="E24" s="14" t="s">
        <v>123</v>
      </c>
      <c r="F24" s="13" t="s">
        <v>124</v>
      </c>
      <c r="G24" s="14" t="s">
        <v>124</v>
      </c>
      <c r="H24" s="13" t="s">
        <v>125</v>
      </c>
      <c r="I24" s="14" t="s">
        <v>124</v>
      </c>
      <c r="J24" s="13">
        <v>1</v>
      </c>
      <c r="K24" s="13"/>
      <c r="L24" s="13"/>
    </row>
    <row r="25" ht="15.75" spans="1:12">
      <c r="A25" s="3"/>
      <c r="B25" s="8">
        <f>ROW(B25)-ROW($B$2)</f>
        <v>23</v>
      </c>
      <c r="C25" s="9" t="s">
        <v>126</v>
      </c>
      <c r="D25" s="10" t="s">
        <v>127</v>
      </c>
      <c r="E25" s="11" t="s">
        <v>128</v>
      </c>
      <c r="F25" s="10" t="s">
        <v>129</v>
      </c>
      <c r="G25" s="11" t="s">
        <v>129</v>
      </c>
      <c r="H25" s="10" t="s">
        <v>130</v>
      </c>
      <c r="I25" s="11" t="s">
        <v>129</v>
      </c>
      <c r="J25" s="10">
        <v>1</v>
      </c>
      <c r="K25" s="10"/>
      <c r="L25" s="10"/>
    </row>
    <row r="26" ht="24.75" spans="1:12">
      <c r="A26" s="3"/>
      <c r="B26" s="8">
        <f>ROW(B26)-ROW($B$2)</f>
        <v>24</v>
      </c>
      <c r="C26" s="12" t="s">
        <v>131</v>
      </c>
      <c r="D26" s="13" t="s">
        <v>132</v>
      </c>
      <c r="E26" s="14" t="s">
        <v>133</v>
      </c>
      <c r="F26" s="13" t="s">
        <v>134</v>
      </c>
      <c r="G26" s="14" t="s">
        <v>135</v>
      </c>
      <c r="H26" s="13" t="s">
        <v>136</v>
      </c>
      <c r="I26" s="14" t="s">
        <v>135</v>
      </c>
      <c r="J26" s="13">
        <v>1</v>
      </c>
      <c r="K26" s="13"/>
      <c r="L26" s="13"/>
    </row>
    <row r="27" ht="15.75" spans="1:12">
      <c r="A27" s="3"/>
      <c r="B27" s="8">
        <f t="shared" ref="B27:B32" si="0">ROW(B27)-ROW($B$2)</f>
        <v>25</v>
      </c>
      <c r="C27" s="9" t="s">
        <v>115</v>
      </c>
      <c r="D27" s="10" t="s">
        <v>137</v>
      </c>
      <c r="E27" s="11" t="s">
        <v>138</v>
      </c>
      <c r="F27" s="10" t="s">
        <v>139</v>
      </c>
      <c r="G27" s="11" t="s">
        <v>140</v>
      </c>
      <c r="H27" s="10" t="s">
        <v>136</v>
      </c>
      <c r="I27" s="11" t="s">
        <v>140</v>
      </c>
      <c r="J27" s="10">
        <v>1</v>
      </c>
      <c r="K27" s="10"/>
      <c r="L27" s="10"/>
    </row>
    <row r="28" ht="24.75" spans="1:12">
      <c r="A28" s="3"/>
      <c r="B28" s="8">
        <f t="shared" si="0"/>
        <v>26</v>
      </c>
      <c r="C28" s="12" t="s">
        <v>115</v>
      </c>
      <c r="D28" s="13" t="s">
        <v>141</v>
      </c>
      <c r="E28" s="14" t="s">
        <v>142</v>
      </c>
      <c r="F28" s="13" t="s">
        <v>143</v>
      </c>
      <c r="G28" s="14" t="s">
        <v>144</v>
      </c>
      <c r="H28" s="13" t="s">
        <v>145</v>
      </c>
      <c r="I28" s="14" t="s">
        <v>144</v>
      </c>
      <c r="J28" s="13">
        <v>1</v>
      </c>
      <c r="K28" s="13"/>
      <c r="L28" s="13"/>
    </row>
    <row r="29" s="1" customFormat="1" ht="24.75" spans="1:12">
      <c r="A29" s="20"/>
      <c r="B29" s="8">
        <f t="shared" si="0"/>
        <v>27</v>
      </c>
      <c r="C29" s="21" t="s">
        <v>146</v>
      </c>
      <c r="D29" s="22" t="s">
        <v>147</v>
      </c>
      <c r="E29" s="23" t="s">
        <v>148</v>
      </c>
      <c r="F29" s="16" t="s">
        <v>147</v>
      </c>
      <c r="G29" s="23" t="s">
        <v>149</v>
      </c>
      <c r="H29" s="22" t="s">
        <v>150</v>
      </c>
      <c r="I29" s="23" t="s">
        <v>147</v>
      </c>
      <c r="J29" s="22">
        <v>1</v>
      </c>
      <c r="K29" s="35" t="s">
        <v>150</v>
      </c>
      <c r="L29" s="36" t="s">
        <v>151</v>
      </c>
    </row>
    <row r="30" s="1" customFormat="1" ht="48.75" spans="1:12">
      <c r="A30" s="20"/>
      <c r="B30" s="8">
        <f t="shared" si="0"/>
        <v>28</v>
      </c>
      <c r="C30" s="21" t="s">
        <v>146</v>
      </c>
      <c r="D30" s="22" t="s">
        <v>147</v>
      </c>
      <c r="E30" s="23" t="s">
        <v>152</v>
      </c>
      <c r="F30" s="16" t="s">
        <v>147</v>
      </c>
      <c r="G30" s="23" t="s">
        <v>153</v>
      </c>
      <c r="H30" s="22" t="s">
        <v>154</v>
      </c>
      <c r="I30" s="23" t="s">
        <v>147</v>
      </c>
      <c r="J30" s="22">
        <v>1</v>
      </c>
      <c r="K30" s="37" t="s">
        <v>155</v>
      </c>
      <c r="L30" s="22"/>
    </row>
    <row r="31" s="1" customFormat="1" ht="15.75" spans="1:12">
      <c r="A31" s="20"/>
      <c r="B31" s="8">
        <f t="shared" si="0"/>
        <v>29</v>
      </c>
      <c r="C31" s="21" t="s">
        <v>146</v>
      </c>
      <c r="D31" s="22" t="s">
        <v>147</v>
      </c>
      <c r="E31" s="23" t="s">
        <v>156</v>
      </c>
      <c r="F31" s="16" t="s">
        <v>147</v>
      </c>
      <c r="G31" s="23" t="s">
        <v>157</v>
      </c>
      <c r="H31" s="22" t="s">
        <v>158</v>
      </c>
      <c r="I31" s="23" t="s">
        <v>147</v>
      </c>
      <c r="J31" s="22">
        <v>1</v>
      </c>
      <c r="K31" s="35" t="s">
        <v>159</v>
      </c>
      <c r="L31" s="22"/>
    </row>
    <row r="32" s="1" customFormat="1" ht="24.75" spans="1:12">
      <c r="A32" s="20"/>
      <c r="B32" s="8">
        <f t="shared" si="0"/>
        <v>30</v>
      </c>
      <c r="C32" s="21" t="s">
        <v>146</v>
      </c>
      <c r="D32" s="22" t="s">
        <v>147</v>
      </c>
      <c r="E32" s="23" t="s">
        <v>160</v>
      </c>
      <c r="F32" s="16" t="s">
        <v>147</v>
      </c>
      <c r="G32" s="23" t="s">
        <v>161</v>
      </c>
      <c r="H32" s="22" t="s">
        <v>147</v>
      </c>
      <c r="I32" s="23" t="s">
        <v>147</v>
      </c>
      <c r="J32" s="22">
        <v>1</v>
      </c>
      <c r="K32" s="35" t="s">
        <v>162</v>
      </c>
      <c r="L32" s="22"/>
    </row>
    <row r="33" s="1" customFormat="1" spans="1:12">
      <c r="A33" s="20"/>
      <c r="B33" s="24"/>
      <c r="C33" s="25"/>
      <c r="D33" s="26"/>
      <c r="E33" s="27"/>
      <c r="F33" s="28"/>
      <c r="G33" s="29"/>
      <c r="H33" s="28"/>
      <c r="I33" s="29"/>
      <c r="J33" s="29"/>
      <c r="K33" s="29"/>
      <c r="L33" s="38"/>
    </row>
    <row r="34" s="1" customFormat="1" ht="15.75" spans="1:12">
      <c r="A34" s="20"/>
      <c r="B34" s="30"/>
      <c r="C34" s="31"/>
      <c r="D34" s="32"/>
      <c r="E34" s="33"/>
      <c r="F34" s="33"/>
      <c r="G34" s="33"/>
      <c r="H34" s="33"/>
      <c r="I34" s="33"/>
      <c r="J34" s="33"/>
      <c r="K34" s="33"/>
      <c r="L34" s="39"/>
    </row>
  </sheetData>
  <mergeCells count="1">
    <mergeCell ref="I1:K1"/>
  </mergeCells>
  <hyperlinks>
    <hyperlink ref="K29" r:id="rId1" display="BuyDisplay"/>
    <hyperlink ref="K30" r:id="rId2" display="Liter Energy"/>
    <hyperlink ref="K31" r:id="rId3" display="LCSC"/>
    <hyperlink ref="K32" r:id="rId4" location=":~:text=VoltLink%20features%20auto%2Dreset%20circuitry,manually%20pressing%20a%20reset%20switch" display="Tindie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2024-01-25T13:27:37Z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D91938B7696B42A78DA95D1BAE61184D_13</vt:lpwstr>
  </property>
  <property fmtid="{D5CDD505-2E9C-101B-9397-08002B2CF9AE}" pid="3" name="KSOProductBuildVer">
    <vt:lpwstr>1033-12.2.0.13431</vt:lpwstr>
  </property>
</Properties>
</file>