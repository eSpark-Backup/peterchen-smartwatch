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9" i="1" l="1"/>
  <c r="B36" i="1"/>
  <c r="B37" i="1"/>
  <c r="B38" i="1"/>
  <c r="B35" i="1" l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<sst xmlns="http://schemas.openxmlformats.org/spreadsheetml/2006/main" count="232" uniqueCount="166">
  <si>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</si>
  <si>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</si>
  <si>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</si>
  <si>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</si>
  <si>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</si>
  <si>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</si>
  <si>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</si>
  <si>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</si>
  <si>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</si>
  <si>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To Board / Wire To Wire Connector</t>
  </si>
  <si>
    <t>Connector</t>
  </si>
  <si>
    <t>Connectors (Board to Board)</t>
  </si>
  <si>
    <t>Inductor</t>
  </si>
  <si>
    <t>LED</t>
  </si>
  <si>
    <t>Test Point</t>
  </si>
  <si>
    <t>Resistor</t>
  </si>
  <si>
    <t>Tactile Switch</t>
  </si>
  <si>
    <t>IC</t>
  </si>
  <si>
    <t>Module</t>
  </si>
  <si>
    <t>Heart Rate Sensor</t>
  </si>
  <si>
    <t>Temperature Sensor</t>
  </si>
  <si>
    <t>Type-C SMD USB</t>
  </si>
  <si>
    <t>Designator</t>
  </si>
  <si>
    <t>C1, C5, C12, C16</t>
  </si>
  <si>
    <t>C2, C7, C9, C10, C15</t>
  </si>
  <si>
    <t>C3, C4, C6, C11</t>
  </si>
  <si>
    <t>C8, C14, C18</t>
  </si>
  <si>
    <t>C13, C17, C19, C20, C22, C23, C24, C25, C26, C27</t>
  </si>
  <si>
    <t>C21</t>
  </si>
  <si>
    <t>D1</t>
  </si>
  <si>
    <t>J2</t>
  </si>
  <si>
    <t>J3</t>
  </si>
  <si>
    <t>J4</t>
  </si>
  <si>
    <t>L1, L2, L3</t>
  </si>
  <si>
    <t>LED1</t>
  </si>
  <si>
    <t>P1, P2, P3, P4, P5, P6</t>
  </si>
  <si>
    <t>R1, R2</t>
  </si>
  <si>
    <t>R3</t>
  </si>
  <si>
    <t>R4, R5, R12, R13, R14</t>
  </si>
  <si>
    <t>R6, R9, R10</t>
  </si>
  <si>
    <t>R7, R8, R11</t>
  </si>
  <si>
    <t>SW1, SW2</t>
  </si>
  <si>
    <t>U1</t>
  </si>
  <si>
    <t>U2</t>
  </si>
  <si>
    <t>U3</t>
  </si>
  <si>
    <t>U4</t>
  </si>
  <si>
    <t>U5</t>
  </si>
  <si>
    <t>U6</t>
  </si>
  <si>
    <t>U7</t>
  </si>
  <si>
    <t>Description</t>
  </si>
  <si>
    <t>CAP CER 10UF 10V X5R 0402</t>
  </si>
  <si>
    <t>CAP CER 2.2UF 10V X5R 0201</t>
  </si>
  <si>
    <t>CAP CER 22UF 10V X5R 0402</t>
  </si>
  <si>
    <t>CAP CER 1UF 16V X5R 0201</t>
  </si>
  <si>
    <t>CAP CER 0.1UF 10V X5R 0201</t>
  </si>
  <si>
    <t>CAP TANT POLY 10UF 6.3V 0603</t>
  </si>
  <si>
    <t>DIODE SCHOTTKY 40V 1A SOD323</t>
  </si>
  <si>
    <t>CONN HEADER SMD 2POS 1.2MM</t>
  </si>
  <si>
    <t>1x6P SH 1 1mm 6 SMD,P=1mm Wire To Board / Wire To Wire Connector ROHS</t>
  </si>
  <si>
    <t>CONN RCPT 24POS SMD GOLD</t>
  </si>
  <si>
    <t>2.05A 1uH ±20% 3.35A 0806 Power Inductors ROHS</t>
  </si>
  <si>
    <t>40mcd~75mcd 透明透镜 620nm~630nm -30℃~+85℃ Positive post Red 120° 55mW 0201 Light Emitting Diodes (LED) ROHS</t>
  </si>
  <si>
    <t>Test Point ON</t>
  </si>
  <si>
    <t>RES 5.1K OHM 1% 1/20W 0201</t>
  </si>
  <si>
    <t>RES 220 OHM 1% 1/20W 0201</t>
  </si>
  <si>
    <t>RES SMD 10K OHM 1% 1/20W 0201</t>
  </si>
  <si>
    <t>RES SMD 0 OHM JUMPER 1/20W 0201</t>
  </si>
  <si>
    <t>RES 4.7K OHM 1% 1/20W 0201</t>
  </si>
  <si>
    <t>SWITCH TACTILE, SPST-NO, 0.05A 1</t>
  </si>
  <si>
    <t>QFN-40-EP(5x5) Microcontroller Units (MCUs/MPUs/SOCs) ROHS</t>
  </si>
  <si>
    <t>RF TXRX MODULE BT PCB TRACE SMD</t>
  </si>
  <si>
    <t>SENSOR OXIMETER/HEART RATE I2C</t>
  </si>
  <si>
    <t>WSON-6(2x2) Temperature Sensors ROHS</t>
  </si>
  <si>
    <t>IC TRANSLTR BIDIRECTIONAL 8DSBGA</t>
  </si>
  <si>
    <t>IC LED DRV LIN SGL WR 30MA 6SSOT</t>
  </si>
  <si>
    <t>USB 3.1 5A 1 260℃ Surface Mount 16P Female -45℃~+85℃ Type-C SMD USB Connectors ROHS</t>
  </si>
  <si>
    <t>Footprint</t>
  </si>
  <si>
    <t>Cap-0402</t>
  </si>
  <si>
    <t>CAP-0201</t>
  </si>
  <si>
    <t>Tant-0603</t>
  </si>
  <si>
    <t>SOD-323</t>
  </si>
  <si>
    <t>BM20B(0.8)-24DS-0.4V(51)</t>
  </si>
  <si>
    <t>WPN201610M1R0MT</t>
  </si>
  <si>
    <t>LED-0201</t>
  </si>
  <si>
    <t>Test-point - 0.5mm</t>
  </si>
  <si>
    <t>Res-0201</t>
  </si>
  <si>
    <t>R-667799</t>
  </si>
  <si>
    <t>40-QFN (5mm×5mm)</t>
  </si>
  <si>
    <t>ESP32-C3-MINI-1-H4</t>
  </si>
  <si>
    <t>MAX30102EFD+T</t>
  </si>
  <si>
    <t>WSON-6(2x2)</t>
  </si>
  <si>
    <t>8-DSBGA</t>
  </si>
  <si>
    <t>SuperSOT-6</t>
  </si>
  <si>
    <t>TYPEC-312DSS-ACP16</t>
  </si>
  <si>
    <t>Manufacturer Part Number</t>
  </si>
  <si>
    <t>CC0402MRX5R6BB106</t>
  </si>
  <si>
    <t>CC0201MRX5R6BB225</t>
  </si>
  <si>
    <t>CC0201MRX5R7BB105</t>
  </si>
  <si>
    <t>CC0201KRX5R6BB104</t>
  </si>
  <si>
    <t>T58MM106M6R3C0300</t>
  </si>
  <si>
    <t>B5819WS-TP</t>
  </si>
  <si>
    <t>C145963</t>
  </si>
  <si>
    <t>XL-0201SURC</t>
  </si>
  <si>
    <t>RC0201FR-075K1L</t>
  </si>
  <si>
    <t>RC0201FR-07220RL</t>
  </si>
  <si>
    <t>RC0201FR-0710KL</t>
  </si>
  <si>
    <t>RC0201JR-070RL</t>
  </si>
  <si>
    <t>RC0201FR-074K7L</t>
  </si>
  <si>
    <t>AXP2101</t>
  </si>
  <si>
    <t>TMP117AIDRVT</t>
  </si>
  <si>
    <t>TXS0102YZPR</t>
  </si>
  <si>
    <t>FAN5622SX</t>
  </si>
  <si>
    <t>Manufacturer</t>
  </si>
  <si>
    <t>Yageo</t>
  </si>
  <si>
    <t>Vishay</t>
  </si>
  <si>
    <t>MDD</t>
  </si>
  <si>
    <t>Molex</t>
  </si>
  <si>
    <t>BOOMELE</t>
  </si>
  <si>
    <t>Hirose Electric Co Ltd</t>
  </si>
  <si>
    <t>Sunlord</t>
  </si>
  <si>
    <t>XINGLIGHT</t>
  </si>
  <si>
    <t>Mitsumi</t>
  </si>
  <si>
    <t>X-Powers Tech</t>
  </si>
  <si>
    <t>Espressif Systems</t>
  </si>
  <si>
    <t>Maxim</t>
  </si>
  <si>
    <t>Texas Instruments</t>
  </si>
  <si>
    <t>ON Semiconductor / Fairchild</t>
  </si>
  <si>
    <t>XUNPU</t>
  </si>
  <si>
    <t>10uF</t>
  </si>
  <si>
    <t>2.2uF</t>
  </si>
  <si>
    <t>22uF</t>
  </si>
  <si>
    <t>1uF</t>
  </si>
  <si>
    <t>100nF</t>
  </si>
  <si>
    <t>1uH</t>
  </si>
  <si>
    <t>5.1K</t>
  </si>
  <si>
    <t>220R</t>
  </si>
  <si>
    <t>10K</t>
  </si>
  <si>
    <t>0R</t>
  </si>
  <si>
    <t>4.7K</t>
  </si>
  <si>
    <t>Quantity</t>
  </si>
  <si>
    <t>Value</t>
  </si>
  <si>
    <t>Remarks</t>
  </si>
  <si>
    <t>-</t>
  </si>
  <si>
    <t>Custom</t>
  </si>
  <si>
    <t>Link</t>
  </si>
  <si>
    <t>Peripheral</t>
  </si>
  <si>
    <t>240x240 Round IPS TFT LCD Display 1.28" Capacitive Touch Circle Screen</t>
  </si>
  <si>
    <t>Touch Panel with Connector</t>
  </si>
  <si>
    <t>BuyDisplay</t>
  </si>
  <si>
    <t>Touch Panel with Connector selection is needed</t>
  </si>
  <si>
    <t>3.7V 3.85V 403535 450mAh Rechargeable li Polymer Round battery For Smart watch Finow x3 Finow x5 replace lem5 lem 5</t>
  </si>
  <si>
    <t>Battery</t>
  </si>
  <si>
    <t>Liter Energy Battery</t>
  </si>
  <si>
    <t>Liter Energy</t>
  </si>
  <si>
    <t>UsbCable/DataCable ROHS</t>
  </si>
  <si>
    <t>Ckmtw</t>
  </si>
  <si>
    <t>C Type Cable</t>
  </si>
  <si>
    <t>LCSC</t>
  </si>
  <si>
    <t>GRM158R61A226ME15D</t>
  </si>
  <si>
    <t>Murata Electronics</t>
  </si>
  <si>
    <t>Bill of Materials for Project [Smart-Watch-v1.0.}</t>
  </si>
  <si>
    <t>Smart-Watch-v1.0</t>
  </si>
  <si>
    <t>Do Not Mount</t>
  </si>
  <si>
    <t>VoltLink CP2102N USB Serial Adapter &amp; Programmer</t>
  </si>
  <si>
    <t>Programmer</t>
  </si>
  <si>
    <t>Tindie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</si>
</sst>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8" fillId="3" borderId="5" xfId="0" applyFont="1" applyFill="1" applyBorder="1"/>
    <xf numFmtId="0" fontId="8" fillId="3" borderId="6" xfId="0" applyFont="1" applyFill="1" applyBorder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5" xfId="0" quotePrefix="1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0" fillId="3" borderId="0" xfId="0" quotePrefix="1" applyFont="1" applyFill="1" applyBorder="1" applyAlignment="1">
      <alignment horizontal="left"/>
    </xf>
    <xf numFmtId="0" fontId="7" fillId="3" borderId="0" xfId="0" applyFont="1" applyFill="1" applyBorder="1"/>
    <xf numFmtId="0" fontId="7" fillId="3" borderId="2" xfId="0" applyFont="1" applyFill="1" applyBorder="1"/>
    <xf numFmtId="0" fontId="8" fillId="3" borderId="18" xfId="0" applyFont="1" applyFill="1" applyBorder="1"/>
    <xf numFmtId="0" fontId="8" fillId="3" borderId="19" xfId="0" applyFont="1" applyFill="1" applyBorder="1"/>
    <xf numFmtId="0" fontId="5" fillId="3" borderId="0" xfId="0" applyFont="1" applyFill="1" applyBorder="1" applyAlignment="1">
      <alignment horizontal="center"/>
    </xf>
    <xf numFmtId="0" fontId="15" fillId="3" borderId="0" xfId="0" applyFont="1" applyFill="1" applyBorder="1"/>
    <xf numFmtId="0" fontId="9" fillId="3" borderId="0" xfId="0" applyFont="1" applyFill="1" applyBorder="1"/>
    <xf numFmtId="0" fontId="9" fillId="3" borderId="2" xfId="0" applyFont="1" applyFill="1" applyBorder="1"/>
    <xf numFmtId="0" fontId="4" fillId="3" borderId="1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2" fillId="3" borderId="3" xfId="0" applyFont="1" applyFill="1" applyBorder="1"/>
    <xf numFmtId="164" fontId="12" fillId="3" borderId="3" xfId="0" applyNumberFormat="1" applyFont="1" applyFill="1" applyBorder="1" applyAlignment="1">
      <alignment horizontal="left"/>
    </xf>
    <xf numFmtId="0" fontId="15" fillId="3" borderId="3" xfId="0" applyFont="1" applyFill="1" applyBorder="1"/>
    <xf numFmtId="0" fontId="9" fillId="3" borderId="3" xfId="0" applyFont="1" applyFill="1" applyBorder="1"/>
    <xf numFmtId="0" fontId="9" fillId="3" borderId="17" xfId="0" applyFont="1" applyFill="1" applyBorder="1"/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9" fillId="2" borderId="16" xfId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UsbCable-DataCable_Ckmtw-Shenzhen-Cankemeng-S100920007_C430908.html" TargetMode="External"/><Relationship Id="rId2" Type="http://schemas.openxmlformats.org/officeDocument/2006/relationships/hyperlink" Target="https://bihuade.com/products/385v-403535-450mah-liter-energy-battery-rechargeable-li-polymer-battery-for-smart-watch-finow-x3-finow-x5-replace-lem5" TargetMode="External"/><Relationship Id="rId1" Type="http://schemas.openxmlformats.org/officeDocument/2006/relationships/hyperlink" Target="https://www.buydisplay.com/240x240-round-ips-tft-lcd-display-1-28-capacitive-touch-circle-screen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tindie.com/products/voltlog/voltlink-cp2102n-usb-serial-adapter-programm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41"/>
  <sheetViews>
    <sheetView tabSelected="1" workbookViewId="0">
      <selection activeCell="I1" sqref="I1:L1"/>
    </sheetView>
  </sheetViews>
  <sheetFormatPr defaultRowHeight="15" x14ac:dyDescent="0.25"/>
  <cols>
    <col min="2" max="2" width="3.140625" style="21" customWidth="1"/>
    <col min="3" max="3" width="18.7109375" style="21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7109375" customWidth="1"/>
    <col min="12" max="12" width="15.28515625" customWidth="1"/>
  </cols>
  <sheetData>
    <row r="1" spans="1:12" ht="15.75" thickBot="1" x14ac:dyDescent="0.3">
      <c r="A1" s="1"/>
      <c r="B1" s="15"/>
      <c r="C1" s="15"/>
      <c r="D1" s="2"/>
      <c r="E1" s="2"/>
      <c r="F1" s="2"/>
      <c r="G1" s="2"/>
      <c r="H1" s="2"/>
      <c r="I1" s="63"/>
      <c r="J1" s="63"/>
      <c r="K1" s="63"/>
      <c r="L1" s="63"/>
    </row>
    <row r="2" spans="1:12" ht="32.25" thickBot="1" x14ac:dyDescent="0.3">
      <c r="A2" s="1"/>
      <c r="B2" s="16"/>
      <c r="C2" s="36"/>
      <c r="D2" s="8" t="s">
        <v>0</v>
      </c>
      <c r="E2" s="8"/>
      <c r="F2" s="41" t="s">
        <v>160</v>
      </c>
      <c r="G2" s="9"/>
      <c r="H2" s="3"/>
      <c r="I2" s="3"/>
      <c r="J2" s="3"/>
      <c r="K2" s="3"/>
      <c r="L2" s="33"/>
    </row>
    <row r="3" spans="1:12" x14ac:dyDescent="0.25">
      <c r="A3" s="1"/>
      <c r="B3" s="17"/>
      <c r="C3" s="43"/>
      <c r="D3" s="44" t="s">
        <v>1</v>
      </c>
      <c r="E3" s="44"/>
      <c r="F3" s="45" t="s">
        <v>161</v>
      </c>
      <c r="G3" s="44"/>
      <c r="H3" s="46"/>
      <c r="I3" s="46"/>
      <c r="J3" s="46"/>
      <c r="K3" s="46"/>
      <c r="L3" s="47"/>
    </row>
    <row r="4" spans="1:12" x14ac:dyDescent="0.25">
      <c r="A4" s="1"/>
      <c r="B4" s="17"/>
      <c r="C4" s="43"/>
      <c r="D4" s="44" t="s">
        <v>2</v>
      </c>
      <c r="E4" s="44"/>
      <c r="F4" s="45" t="s">
        <v>161</v>
      </c>
      <c r="G4" s="10"/>
      <c r="H4" s="5"/>
      <c r="I4" s="5"/>
      <c r="J4" s="5"/>
      <c r="K4" s="5"/>
      <c r="L4" s="48"/>
    </row>
    <row r="5" spans="1:12" x14ac:dyDescent="0.25">
      <c r="A5" s="1"/>
      <c r="B5" s="17"/>
      <c r="C5" s="43"/>
      <c r="D5" s="44" t="s">
        <v>3</v>
      </c>
      <c r="E5" s="44"/>
      <c r="F5" s="42" t="s">
        <v>5</v>
      </c>
      <c r="G5" s="11"/>
      <c r="H5" s="4"/>
      <c r="I5" s="4"/>
      <c r="J5" s="4"/>
      <c r="K5" s="4"/>
      <c r="L5" s="49"/>
    </row>
    <row r="6" spans="1:12" x14ac:dyDescent="0.25">
      <c r="A6" s="1"/>
      <c r="B6" s="18"/>
      <c r="C6" s="37"/>
      <c r="D6" s="12"/>
      <c r="E6" s="12"/>
      <c r="F6" s="13"/>
      <c r="G6" s="11"/>
      <c r="H6" s="4"/>
      <c r="I6" s="4"/>
      <c r="J6" s="4"/>
      <c r="K6" s="4"/>
      <c r="L6" s="49"/>
    </row>
    <row r="7" spans="1:12" x14ac:dyDescent="0.25">
      <c r="A7" s="1"/>
      <c r="B7" s="19"/>
      <c r="C7" s="50"/>
      <c r="D7" s="51"/>
      <c r="E7" s="51"/>
      <c r="F7" s="14"/>
      <c r="G7" s="51"/>
      <c r="H7" s="52"/>
      <c r="I7" s="52"/>
      <c r="J7" s="52"/>
      <c r="K7" s="52"/>
      <c r="L7" s="53"/>
    </row>
    <row r="8" spans="1:12" ht="15.75" thickBot="1" x14ac:dyDescent="0.3">
      <c r="A8" s="1"/>
      <c r="B8" s="54"/>
      <c r="C8" s="55"/>
      <c r="D8" s="56"/>
      <c r="E8" s="56"/>
      <c r="F8" s="57"/>
      <c r="G8" s="58"/>
      <c r="H8" s="59"/>
      <c r="I8" s="59"/>
      <c r="J8" s="59"/>
      <c r="K8" s="59"/>
      <c r="L8" s="60"/>
    </row>
    <row r="9" spans="1:12" ht="15.75" thickBot="1" x14ac:dyDescent="0.3">
      <c r="A9" s="1"/>
      <c r="B9" s="22" t="s">
        <v>4</v>
      </c>
      <c r="C9" s="22" t="s">
        <v>6</v>
      </c>
      <c r="D9" s="22" t="s">
        <v>22</v>
      </c>
      <c r="E9" s="23" t="s">
        <v>49</v>
      </c>
      <c r="F9" s="22" t="s">
        <v>76</v>
      </c>
      <c r="G9" s="23" t="s">
        <v>94</v>
      </c>
      <c r="H9" s="22" t="s">
        <v>112</v>
      </c>
      <c r="I9" s="23" t="s">
        <v>140</v>
      </c>
      <c r="J9" s="22" t="s">
        <v>139</v>
      </c>
      <c r="K9" s="22" t="s">
        <v>144</v>
      </c>
      <c r="L9" s="22" t="s">
        <v>141</v>
      </c>
    </row>
    <row r="10" spans="1:12" ht="15.75" thickBot="1" x14ac:dyDescent="0.3">
      <c r="A10" s="1"/>
      <c r="B10" s="40">
        <f>ROW(B10) - ROW($B$9)</f>
        <v>1</v>
      </c>
      <c r="C10" s="61" t="s">
        <v>7</v>
      </c>
      <c r="D10" s="29" t="s">
        <v>23</v>
      </c>
      <c r="E10" s="30" t="s">
        <v>50</v>
      </c>
      <c r="F10" s="29" t="s">
        <v>77</v>
      </c>
      <c r="G10" s="30" t="s">
        <v>95</v>
      </c>
      <c r="H10" s="29" t="s">
        <v>113</v>
      </c>
      <c r="I10" s="30" t="s">
        <v>128</v>
      </c>
      <c r="J10" s="29">
        <v>4</v>
      </c>
      <c r="K10" s="29"/>
      <c r="L10" s="29"/>
    </row>
    <row r="11" spans="1:12" ht="15.75" thickBot="1" x14ac:dyDescent="0.3">
      <c r="A11" s="1"/>
      <c r="B11" s="40">
        <f t="shared" ref="B11:B39" si="0">ROW(B11) - ROW($B$9)</f>
        <v>2</v>
      </c>
      <c r="C11" s="62" t="s">
        <v>7</v>
      </c>
      <c r="D11" s="31" t="s">
        <v>24</v>
      </c>
      <c r="E11" s="32" t="s">
        <v>51</v>
      </c>
      <c r="F11" s="31" t="s">
        <v>78</v>
      </c>
      <c r="G11" s="32" t="s">
        <v>96</v>
      </c>
      <c r="H11" s="31" t="s">
        <v>113</v>
      </c>
      <c r="I11" s="32" t="s">
        <v>129</v>
      </c>
      <c r="J11" s="31">
        <v>5</v>
      </c>
      <c r="K11" s="31"/>
      <c r="L11" s="31"/>
    </row>
    <row r="12" spans="1:12" ht="15.75" thickBot="1" x14ac:dyDescent="0.3">
      <c r="A12" s="1"/>
      <c r="B12" s="40">
        <f>ROW(B12) - ROW($B$9)</f>
        <v>3</v>
      </c>
      <c r="C12" s="61" t="s">
        <v>7</v>
      </c>
      <c r="D12" s="29" t="s">
        <v>25</v>
      </c>
      <c r="E12" s="30" t="s">
        <v>52</v>
      </c>
      <c r="F12" s="29" t="s">
        <v>77</v>
      </c>
      <c r="G12" s="30" t="s">
        <v>158</v>
      </c>
      <c r="H12" s="29" t="s">
        <v>159</v>
      </c>
      <c r="I12" s="30" t="s">
        <v>130</v>
      </c>
      <c r="J12" s="29">
        <v>4</v>
      </c>
      <c r="K12" s="29"/>
      <c r="L12" s="29"/>
    </row>
    <row r="13" spans="1:12" ht="15.75" thickBot="1" x14ac:dyDescent="0.3">
      <c r="A13" s="1"/>
      <c r="B13" s="40">
        <f t="shared" si="0"/>
        <v>4</v>
      </c>
      <c r="C13" s="62" t="s">
        <v>7</v>
      </c>
      <c r="D13" s="31" t="s">
        <v>26</v>
      </c>
      <c r="E13" s="32" t="s">
        <v>53</v>
      </c>
      <c r="F13" s="31" t="s">
        <v>78</v>
      </c>
      <c r="G13" s="32" t="s">
        <v>97</v>
      </c>
      <c r="H13" s="31" t="s">
        <v>113</v>
      </c>
      <c r="I13" s="32" t="s">
        <v>131</v>
      </c>
      <c r="J13" s="31">
        <v>3</v>
      </c>
      <c r="K13" s="31"/>
      <c r="L13" s="31"/>
    </row>
    <row r="14" spans="1:12" ht="15.75" thickBot="1" x14ac:dyDescent="0.3">
      <c r="A14" s="1"/>
      <c r="B14" s="40">
        <f>ROW(B14) - ROW($B$9)</f>
        <v>5</v>
      </c>
      <c r="C14" s="62" t="s">
        <v>7</v>
      </c>
      <c r="D14" s="29" t="s">
        <v>27</v>
      </c>
      <c r="E14" s="30" t="s">
        <v>54</v>
      </c>
      <c r="F14" s="29" t="s">
        <v>78</v>
      </c>
      <c r="G14" s="30" t="s">
        <v>98</v>
      </c>
      <c r="H14" s="29" t="s">
        <v>113</v>
      </c>
      <c r="I14" s="30" t="s">
        <v>132</v>
      </c>
      <c r="J14" s="29">
        <v>10</v>
      </c>
      <c r="K14" s="29"/>
      <c r="L14" s="29"/>
    </row>
    <row r="15" spans="1:12" ht="15.75" thickBot="1" x14ac:dyDescent="0.3">
      <c r="A15" s="1"/>
      <c r="B15" s="40">
        <f t="shared" si="0"/>
        <v>6</v>
      </c>
      <c r="C15" s="62" t="s">
        <v>7</v>
      </c>
      <c r="D15" s="31" t="s">
        <v>28</v>
      </c>
      <c r="E15" s="32" t="s">
        <v>55</v>
      </c>
      <c r="F15" s="31" t="s">
        <v>79</v>
      </c>
      <c r="G15" s="32" t="s">
        <v>99</v>
      </c>
      <c r="H15" s="31" t="s">
        <v>114</v>
      </c>
      <c r="I15" s="32" t="s">
        <v>128</v>
      </c>
      <c r="J15" s="31">
        <v>1</v>
      </c>
      <c r="K15" s="31"/>
      <c r="L15" s="31"/>
    </row>
    <row r="16" spans="1:12" ht="15.75" thickBot="1" x14ac:dyDescent="0.3">
      <c r="A16" s="1"/>
      <c r="B16" s="40">
        <f>ROW(B16) - ROW($B$9)</f>
        <v>7</v>
      </c>
      <c r="C16" s="61" t="s">
        <v>8</v>
      </c>
      <c r="D16" s="29" t="s">
        <v>29</v>
      </c>
      <c r="E16" s="30" t="s">
        <v>56</v>
      </c>
      <c r="F16" s="29" t="s">
        <v>80</v>
      </c>
      <c r="G16" s="30" t="s">
        <v>100</v>
      </c>
      <c r="H16" s="29" t="s">
        <v>115</v>
      </c>
      <c r="I16" s="30" t="s">
        <v>142</v>
      </c>
      <c r="J16" s="29">
        <v>1</v>
      </c>
      <c r="K16" s="29"/>
      <c r="L16" s="29"/>
    </row>
    <row r="17" spans="1:12" ht="26.25" thickBot="1" x14ac:dyDescent="0.3">
      <c r="A17" s="1"/>
      <c r="B17" s="40">
        <f t="shared" si="0"/>
        <v>8</v>
      </c>
      <c r="C17" s="62" t="s">
        <v>9</v>
      </c>
      <c r="D17" s="31" t="s">
        <v>30</v>
      </c>
      <c r="E17" s="32" t="s">
        <v>57</v>
      </c>
      <c r="F17" s="31">
        <v>781710002</v>
      </c>
      <c r="G17" s="32">
        <v>781710002</v>
      </c>
      <c r="H17" s="31" t="s">
        <v>116</v>
      </c>
      <c r="I17" s="32" t="s">
        <v>142</v>
      </c>
      <c r="J17" s="31">
        <v>1</v>
      </c>
      <c r="K17" s="31"/>
      <c r="L17" s="31"/>
    </row>
    <row r="18" spans="1:12" ht="36.75" thickBot="1" x14ac:dyDescent="0.3">
      <c r="A18" s="1"/>
      <c r="B18" s="40">
        <f>ROW(B18) - ROW($B$9)</f>
        <v>9</v>
      </c>
      <c r="C18" s="61" t="s">
        <v>10</v>
      </c>
      <c r="D18" s="29" t="s">
        <v>31</v>
      </c>
      <c r="E18" s="30" t="s">
        <v>58</v>
      </c>
      <c r="F18" s="29" t="s">
        <v>143</v>
      </c>
      <c r="G18" s="30" t="s">
        <v>101</v>
      </c>
      <c r="H18" s="29" t="s">
        <v>117</v>
      </c>
      <c r="I18" s="30" t="s">
        <v>142</v>
      </c>
      <c r="J18" s="29">
        <v>1</v>
      </c>
      <c r="K18" s="29"/>
      <c r="L18" s="29"/>
    </row>
    <row r="19" spans="1:12" ht="26.25" thickBot="1" x14ac:dyDescent="0.3">
      <c r="A19" s="1"/>
      <c r="B19" s="40">
        <f t="shared" si="0"/>
        <v>10</v>
      </c>
      <c r="C19" s="62" t="s">
        <v>11</v>
      </c>
      <c r="D19" s="31" t="s">
        <v>32</v>
      </c>
      <c r="E19" s="32" t="s">
        <v>59</v>
      </c>
      <c r="F19" s="29" t="s">
        <v>143</v>
      </c>
      <c r="G19" s="32" t="s">
        <v>81</v>
      </c>
      <c r="H19" s="31" t="s">
        <v>118</v>
      </c>
      <c r="I19" s="32" t="s">
        <v>142</v>
      </c>
      <c r="J19" s="31">
        <v>1</v>
      </c>
      <c r="K19" s="31"/>
      <c r="L19" s="31"/>
    </row>
    <row r="20" spans="1:12" ht="24.75" thickBot="1" x14ac:dyDescent="0.3">
      <c r="A20" s="1"/>
      <c r="B20" s="40">
        <f>ROW(B20) - ROW($B$9)</f>
        <v>11</v>
      </c>
      <c r="C20" s="61" t="s">
        <v>12</v>
      </c>
      <c r="D20" s="29" t="s">
        <v>33</v>
      </c>
      <c r="E20" s="30" t="s">
        <v>60</v>
      </c>
      <c r="F20" s="29" t="s">
        <v>143</v>
      </c>
      <c r="G20" s="30" t="s">
        <v>82</v>
      </c>
      <c r="H20" s="29" t="s">
        <v>119</v>
      </c>
      <c r="I20" s="30" t="s">
        <v>133</v>
      </c>
      <c r="J20" s="29">
        <v>3</v>
      </c>
      <c r="K20" s="29"/>
      <c r="L20" s="29"/>
    </row>
    <row r="21" spans="1:12" ht="48.75" thickBot="1" x14ac:dyDescent="0.3">
      <c r="A21" s="1"/>
      <c r="B21" s="40">
        <f t="shared" si="0"/>
        <v>12</v>
      </c>
      <c r="C21" s="62" t="s">
        <v>13</v>
      </c>
      <c r="D21" s="31" t="s">
        <v>34</v>
      </c>
      <c r="E21" s="32" t="s">
        <v>61</v>
      </c>
      <c r="F21" s="31" t="s">
        <v>83</v>
      </c>
      <c r="G21" s="32" t="s">
        <v>102</v>
      </c>
      <c r="H21" s="31" t="s">
        <v>120</v>
      </c>
      <c r="I21" s="32" t="s">
        <v>142</v>
      </c>
      <c r="J21" s="31">
        <v>1</v>
      </c>
      <c r="K21" s="31"/>
      <c r="L21" s="31"/>
    </row>
    <row r="22" spans="1:12" ht="15.75" thickBot="1" x14ac:dyDescent="0.3">
      <c r="A22" s="1"/>
      <c r="B22" s="40">
        <f>ROW(B22) - ROW($B$9)</f>
        <v>13</v>
      </c>
      <c r="C22" s="61" t="s">
        <v>14</v>
      </c>
      <c r="D22" s="66" t="s">
        <v>35</v>
      </c>
      <c r="E22" s="67" t="s">
        <v>62</v>
      </c>
      <c r="F22" s="66" t="s">
        <v>143</v>
      </c>
      <c r="G22" s="66" t="s">
        <v>84</v>
      </c>
      <c r="H22" s="66"/>
      <c r="I22" s="67" t="s">
        <v>142</v>
      </c>
      <c r="J22" s="66">
        <v>6</v>
      </c>
      <c r="K22" s="66"/>
      <c r="L22" s="66" t="s">
        <v>162</v>
      </c>
    </row>
    <row r="23" spans="1:12" ht="15.75" thickBot="1" x14ac:dyDescent="0.3">
      <c r="A23" s="1"/>
      <c r="B23" s="40">
        <f t="shared" si="0"/>
        <v>14</v>
      </c>
      <c r="C23" s="62" t="s">
        <v>15</v>
      </c>
      <c r="D23" s="31" t="s">
        <v>36</v>
      </c>
      <c r="E23" s="32" t="s">
        <v>63</v>
      </c>
      <c r="F23" s="31" t="s">
        <v>85</v>
      </c>
      <c r="G23" s="32" t="s">
        <v>103</v>
      </c>
      <c r="H23" s="31" t="s">
        <v>113</v>
      </c>
      <c r="I23" s="32" t="s">
        <v>134</v>
      </c>
      <c r="J23" s="31">
        <v>2</v>
      </c>
      <c r="K23" s="31"/>
      <c r="L23" s="31"/>
    </row>
    <row r="24" spans="1:12" ht="15.75" thickBot="1" x14ac:dyDescent="0.3">
      <c r="A24" s="1"/>
      <c r="B24" s="40">
        <f>ROW(B24) - ROW($B$9)</f>
        <v>15</v>
      </c>
      <c r="C24" s="62" t="s">
        <v>15</v>
      </c>
      <c r="D24" s="29" t="s">
        <v>37</v>
      </c>
      <c r="E24" s="30" t="s">
        <v>64</v>
      </c>
      <c r="F24" s="29" t="s">
        <v>85</v>
      </c>
      <c r="G24" s="30" t="s">
        <v>104</v>
      </c>
      <c r="H24" s="29" t="s">
        <v>113</v>
      </c>
      <c r="I24" s="30" t="s">
        <v>135</v>
      </c>
      <c r="J24" s="29">
        <v>1</v>
      </c>
      <c r="K24" s="29"/>
      <c r="L24" s="29"/>
    </row>
    <row r="25" spans="1:12" ht="15.75" thickBot="1" x14ac:dyDescent="0.3">
      <c r="A25" s="1"/>
      <c r="B25" s="40">
        <f t="shared" si="0"/>
        <v>16</v>
      </c>
      <c r="C25" s="62" t="s">
        <v>15</v>
      </c>
      <c r="D25" s="31" t="s">
        <v>38</v>
      </c>
      <c r="E25" s="32" t="s">
        <v>65</v>
      </c>
      <c r="F25" s="31" t="s">
        <v>85</v>
      </c>
      <c r="G25" s="32" t="s">
        <v>105</v>
      </c>
      <c r="H25" s="31" t="s">
        <v>113</v>
      </c>
      <c r="I25" s="32" t="s">
        <v>136</v>
      </c>
      <c r="J25" s="31">
        <v>5</v>
      </c>
      <c r="K25" s="31"/>
      <c r="L25" s="31"/>
    </row>
    <row r="26" spans="1:12" ht="15.75" thickBot="1" x14ac:dyDescent="0.3">
      <c r="A26" s="1"/>
      <c r="B26" s="40">
        <f>ROW(B26) - ROW($B$9)</f>
        <v>17</v>
      </c>
      <c r="C26" s="62" t="s">
        <v>15</v>
      </c>
      <c r="D26" s="29" t="s">
        <v>39</v>
      </c>
      <c r="E26" s="30" t="s">
        <v>66</v>
      </c>
      <c r="F26" s="29" t="s">
        <v>85</v>
      </c>
      <c r="G26" s="30" t="s">
        <v>106</v>
      </c>
      <c r="H26" s="29" t="s">
        <v>113</v>
      </c>
      <c r="I26" s="30" t="s">
        <v>137</v>
      </c>
      <c r="J26" s="29">
        <v>3</v>
      </c>
      <c r="K26" s="29"/>
      <c r="L26" s="29"/>
    </row>
    <row r="27" spans="1:12" ht="15.75" thickBot="1" x14ac:dyDescent="0.3">
      <c r="A27" s="1"/>
      <c r="B27" s="40">
        <f t="shared" si="0"/>
        <v>18</v>
      </c>
      <c r="C27" s="62" t="s">
        <v>15</v>
      </c>
      <c r="D27" s="31" t="s">
        <v>40</v>
      </c>
      <c r="E27" s="32" t="s">
        <v>67</v>
      </c>
      <c r="F27" s="31" t="s">
        <v>85</v>
      </c>
      <c r="G27" s="32" t="s">
        <v>107</v>
      </c>
      <c r="H27" s="31" t="s">
        <v>113</v>
      </c>
      <c r="I27" s="32" t="s">
        <v>138</v>
      </c>
      <c r="J27" s="31">
        <v>3</v>
      </c>
      <c r="K27" s="31"/>
      <c r="L27" s="31"/>
    </row>
    <row r="28" spans="1:12" ht="15.75" thickBot="1" x14ac:dyDescent="0.3">
      <c r="A28" s="1"/>
      <c r="B28" s="40">
        <f>ROW(B28) - ROW($B$9)</f>
        <v>19</v>
      </c>
      <c r="C28" s="61" t="s">
        <v>16</v>
      </c>
      <c r="D28" s="29" t="s">
        <v>41</v>
      </c>
      <c r="E28" s="30" t="s">
        <v>68</v>
      </c>
      <c r="F28" s="29" t="s">
        <v>86</v>
      </c>
      <c r="G28" s="30" t="s">
        <v>86</v>
      </c>
      <c r="H28" s="29" t="s">
        <v>121</v>
      </c>
      <c r="I28" s="30" t="s">
        <v>142</v>
      </c>
      <c r="J28" s="29">
        <v>2</v>
      </c>
      <c r="K28" s="29"/>
      <c r="L28" s="29"/>
    </row>
    <row r="29" spans="1:12" ht="24.75" thickBot="1" x14ac:dyDescent="0.3">
      <c r="A29" s="1"/>
      <c r="B29" s="40">
        <f t="shared" si="0"/>
        <v>20</v>
      </c>
      <c r="C29" s="62" t="s">
        <v>17</v>
      </c>
      <c r="D29" s="31" t="s">
        <v>42</v>
      </c>
      <c r="E29" s="32" t="s">
        <v>69</v>
      </c>
      <c r="F29" s="31" t="s">
        <v>87</v>
      </c>
      <c r="G29" s="32" t="s">
        <v>108</v>
      </c>
      <c r="H29" s="31" t="s">
        <v>122</v>
      </c>
      <c r="I29" s="32" t="s">
        <v>142</v>
      </c>
      <c r="J29" s="31">
        <v>1</v>
      </c>
      <c r="K29" s="31"/>
      <c r="L29" s="31"/>
    </row>
    <row r="30" spans="1:12" ht="15.75" thickBot="1" x14ac:dyDescent="0.3">
      <c r="A30" s="1"/>
      <c r="B30" s="40">
        <f>ROW(B30) - ROW($B$9)</f>
        <v>21</v>
      </c>
      <c r="C30" s="61" t="s">
        <v>18</v>
      </c>
      <c r="D30" s="29" t="s">
        <v>43</v>
      </c>
      <c r="E30" s="30" t="s">
        <v>70</v>
      </c>
      <c r="F30" s="29" t="s">
        <v>143</v>
      </c>
      <c r="G30" s="30" t="s">
        <v>88</v>
      </c>
      <c r="H30" s="29" t="s">
        <v>123</v>
      </c>
      <c r="I30" s="30" t="s">
        <v>142</v>
      </c>
      <c r="J30" s="29">
        <v>1</v>
      </c>
      <c r="K30" s="29"/>
      <c r="L30" s="29"/>
    </row>
    <row r="31" spans="1:12" ht="15.75" thickBot="1" x14ac:dyDescent="0.3">
      <c r="A31" s="1"/>
      <c r="B31" s="40">
        <f t="shared" si="0"/>
        <v>22</v>
      </c>
      <c r="C31" s="62" t="s">
        <v>19</v>
      </c>
      <c r="D31" s="31" t="s">
        <v>44</v>
      </c>
      <c r="E31" s="32" t="s">
        <v>71</v>
      </c>
      <c r="F31" s="29" t="s">
        <v>143</v>
      </c>
      <c r="G31" s="32" t="s">
        <v>89</v>
      </c>
      <c r="H31" s="31" t="s">
        <v>124</v>
      </c>
      <c r="I31" s="32" t="s">
        <v>142</v>
      </c>
      <c r="J31" s="31">
        <v>1</v>
      </c>
      <c r="K31" s="31"/>
      <c r="L31" s="31"/>
    </row>
    <row r="32" spans="1:12" ht="24.75" thickBot="1" x14ac:dyDescent="0.3">
      <c r="A32" s="1"/>
      <c r="B32" s="40">
        <f>ROW(B32) - ROW($B$9)</f>
        <v>23</v>
      </c>
      <c r="C32" s="61" t="s">
        <v>20</v>
      </c>
      <c r="D32" s="29" t="s">
        <v>45</v>
      </c>
      <c r="E32" s="30" t="s">
        <v>72</v>
      </c>
      <c r="F32" s="29" t="s">
        <v>90</v>
      </c>
      <c r="G32" s="30" t="s">
        <v>109</v>
      </c>
      <c r="H32" s="29" t="s">
        <v>125</v>
      </c>
      <c r="I32" s="30" t="s">
        <v>142</v>
      </c>
      <c r="J32" s="29">
        <v>1</v>
      </c>
      <c r="K32" s="29"/>
      <c r="L32" s="29"/>
    </row>
    <row r="33" spans="1:12" ht="15.75" thickBot="1" x14ac:dyDescent="0.3">
      <c r="A33" s="1"/>
      <c r="B33" s="40">
        <f t="shared" si="0"/>
        <v>24</v>
      </c>
      <c r="C33" s="62" t="s">
        <v>17</v>
      </c>
      <c r="D33" s="31" t="s">
        <v>46</v>
      </c>
      <c r="E33" s="32" t="s">
        <v>73</v>
      </c>
      <c r="F33" s="31" t="s">
        <v>91</v>
      </c>
      <c r="G33" s="32" t="s">
        <v>110</v>
      </c>
      <c r="H33" s="31" t="s">
        <v>125</v>
      </c>
      <c r="I33" s="32" t="s">
        <v>142</v>
      </c>
      <c r="J33" s="31">
        <v>1</v>
      </c>
      <c r="K33" s="31"/>
      <c r="L33" s="31"/>
    </row>
    <row r="34" spans="1:12" ht="24.75" thickBot="1" x14ac:dyDescent="0.3">
      <c r="A34" s="1"/>
      <c r="B34" s="40">
        <f>ROW(B34) - ROW($B$9)</f>
        <v>25</v>
      </c>
      <c r="C34" s="61" t="s">
        <v>17</v>
      </c>
      <c r="D34" s="29" t="s">
        <v>47</v>
      </c>
      <c r="E34" s="30" t="s">
        <v>74</v>
      </c>
      <c r="F34" s="29" t="s">
        <v>92</v>
      </c>
      <c r="G34" s="30" t="s">
        <v>111</v>
      </c>
      <c r="H34" s="29" t="s">
        <v>126</v>
      </c>
      <c r="I34" s="30" t="s">
        <v>142</v>
      </c>
      <c r="J34" s="29">
        <v>1</v>
      </c>
      <c r="K34" s="29"/>
      <c r="L34" s="29"/>
    </row>
    <row r="35" spans="1:12" ht="36.75" thickBot="1" x14ac:dyDescent="0.3">
      <c r="A35" s="1"/>
      <c r="B35" s="40">
        <f t="shared" si="0"/>
        <v>26</v>
      </c>
      <c r="C35" s="62" t="s">
        <v>21</v>
      </c>
      <c r="D35" s="31" t="s">
        <v>48</v>
      </c>
      <c r="E35" s="32" t="s">
        <v>75</v>
      </c>
      <c r="F35" s="29" t="s">
        <v>143</v>
      </c>
      <c r="G35" s="32" t="s">
        <v>93</v>
      </c>
      <c r="H35" s="31" t="s">
        <v>127</v>
      </c>
      <c r="I35" s="32" t="s">
        <v>142</v>
      </c>
      <c r="J35" s="31">
        <v>1</v>
      </c>
      <c r="K35" s="31"/>
      <c r="L35" s="31"/>
    </row>
    <row r="36" spans="1:12" ht="60.75" thickBot="1" x14ac:dyDescent="0.3">
      <c r="A36" s="1"/>
      <c r="B36" s="40">
        <f t="shared" si="0"/>
        <v>27</v>
      </c>
      <c r="C36" s="62" t="s">
        <v>145</v>
      </c>
      <c r="D36" s="31" t="s">
        <v>142</v>
      </c>
      <c r="E36" s="32" t="s">
        <v>146</v>
      </c>
      <c r="F36" s="29" t="s">
        <v>142</v>
      </c>
      <c r="G36" s="32" t="s">
        <v>147</v>
      </c>
      <c r="H36" s="31" t="s">
        <v>148</v>
      </c>
      <c r="I36" s="32" t="s">
        <v>142</v>
      </c>
      <c r="J36" s="31">
        <v>1</v>
      </c>
      <c r="K36" s="64" t="s">
        <v>148</v>
      </c>
      <c r="L36" s="65" t="s">
        <v>149</v>
      </c>
    </row>
    <row r="37" spans="1:12" ht="48.75" thickBot="1" x14ac:dyDescent="0.3">
      <c r="A37" s="1"/>
      <c r="B37" s="40">
        <f t="shared" si="0"/>
        <v>28</v>
      </c>
      <c r="C37" s="62" t="s">
        <v>145</v>
      </c>
      <c r="D37" s="31" t="s">
        <v>142</v>
      </c>
      <c r="E37" s="32" t="s">
        <v>150</v>
      </c>
      <c r="F37" s="29" t="s">
        <v>142</v>
      </c>
      <c r="G37" s="32" t="s">
        <v>151</v>
      </c>
      <c r="H37" s="31" t="s">
        <v>152</v>
      </c>
      <c r="I37" s="32" t="s">
        <v>142</v>
      </c>
      <c r="J37" s="31">
        <v>1</v>
      </c>
      <c r="K37" s="64" t="s">
        <v>153</v>
      </c>
      <c r="L37" s="31"/>
    </row>
    <row r="38" spans="1:12" ht="15.75" thickBot="1" x14ac:dyDescent="0.3">
      <c r="A38" s="1"/>
      <c r="B38" s="40">
        <f t="shared" si="0"/>
        <v>29</v>
      </c>
      <c r="C38" s="62" t="s">
        <v>145</v>
      </c>
      <c r="D38" s="31" t="s">
        <v>142</v>
      </c>
      <c r="E38" s="32" t="s">
        <v>154</v>
      </c>
      <c r="F38" s="29" t="s">
        <v>142</v>
      </c>
      <c r="G38" s="32" t="s">
        <v>156</v>
      </c>
      <c r="H38" s="31" t="s">
        <v>155</v>
      </c>
      <c r="I38" s="32" t="s">
        <v>142</v>
      </c>
      <c r="J38" s="31">
        <v>1</v>
      </c>
      <c r="K38" s="64" t="s">
        <v>157</v>
      </c>
      <c r="L38" s="31"/>
    </row>
    <row r="39" spans="1:12" ht="24.75" thickBot="1" x14ac:dyDescent="0.3">
      <c r="A39" s="1"/>
      <c r="B39" s="40">
        <f t="shared" si="0"/>
        <v>30</v>
      </c>
      <c r="C39" s="62" t="s">
        <v>145</v>
      </c>
      <c r="D39" s="31" t="s">
        <v>142</v>
      </c>
      <c r="E39" s="32" t="s">
        <v>163</v>
      </c>
      <c r="F39" s="29" t="s">
        <v>142</v>
      </c>
      <c r="G39" s="32" t="s">
        <v>164</v>
      </c>
      <c r="H39" s="31" t="s">
        <v>142</v>
      </c>
      <c r="I39" s="32" t="s">
        <v>142</v>
      </c>
      <c r="J39" s="31">
        <v>1</v>
      </c>
      <c r="K39" s="64" t="s">
        <v>165</v>
      </c>
      <c r="L39" s="31"/>
    </row>
    <row r="40" spans="1:12" x14ac:dyDescent="0.25">
      <c r="A40" s="1"/>
      <c r="B40" s="24"/>
      <c r="C40" s="38"/>
      <c r="D40" s="25"/>
      <c r="E40" s="26"/>
      <c r="F40" s="27"/>
      <c r="G40" s="28"/>
      <c r="H40" s="27"/>
      <c r="I40" s="28"/>
      <c r="J40" s="28"/>
      <c r="K40" s="28"/>
      <c r="L40" s="34"/>
    </row>
    <row r="41" spans="1:12" ht="15.75" thickBot="1" x14ac:dyDescent="0.3">
      <c r="A41" s="1"/>
      <c r="B41" s="20"/>
      <c r="C41" s="39"/>
      <c r="D41" s="6"/>
      <c r="E41" s="7"/>
      <c r="F41" s="7"/>
      <c r="G41" s="7"/>
      <c r="H41" s="7"/>
      <c r="I41" s="7"/>
      <c r="J41" s="7"/>
      <c r="K41" s="7"/>
      <c r="L41" s="35"/>
    </row>
  </sheetData>
  <mergeCells count="1">
    <mergeCell ref="I1:L1"/>
  </mergeCells>
  <hyperlinks>
    <hyperlink ref="K36" r:id="rId1"/>
    <hyperlink ref="K37" r:id="rId2"/>
    <hyperlink ref="K38" r:id="rId3"/>
    <hyperlink ref="K39" r:id="rId4" location=":~:text=VoltLink%20features%20auto%2Dreset%20circuitry,manually%20pressing%20a%20reset%20switch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2023-12-28T08:53:35Z</dcterms:modified>
</cp:coreProperties>
</file>